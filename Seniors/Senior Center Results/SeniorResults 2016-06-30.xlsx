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6820" windowHeight="1003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Sheet1!$A$1:$H$40</definedName>
  </definedNames>
  <calcPr calcId="152511"/>
</workbook>
</file>

<file path=xl/calcChain.xml><?xml version="1.0" encoding="utf-8"?>
<calcChain xmlns="http://schemas.openxmlformats.org/spreadsheetml/2006/main">
  <c r="B25" i="1" l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<sst xmlns="http://schemas.openxmlformats.org/spreadsheetml/2006/main" count="50" uniqueCount="34">
  <si>
    <t>Game Pts</t>
  </si>
  <si>
    <t>Games Won</t>
  </si>
  <si>
    <t>Spread</t>
  </si>
  <si>
    <t>Games Played</t>
  </si>
  <si>
    <t>Name</t>
  </si>
  <si>
    <t>Results:</t>
  </si>
  <si>
    <t>LAST Week</t>
  </si>
  <si>
    <t>TWO Weeks Ago</t>
  </si>
  <si>
    <t>Senior Center Cribbage Results</t>
  </si>
  <si>
    <t>Sybil</t>
  </si>
  <si>
    <t>Bill C.</t>
  </si>
  <si>
    <t>Michael</t>
  </si>
  <si>
    <t>Grand Slam!!</t>
  </si>
  <si>
    <t>String of Pearls!</t>
  </si>
  <si>
    <t>Minimum four games for Pearls!</t>
  </si>
  <si>
    <t>Bill P.</t>
  </si>
  <si>
    <t>Jerry U.</t>
  </si>
  <si>
    <t>New Player</t>
  </si>
  <si>
    <t>Kuniko</t>
  </si>
  <si>
    <t>Susie R.</t>
  </si>
  <si>
    <t>Darlene</t>
  </si>
  <si>
    <t>Denny M.</t>
  </si>
  <si>
    <t>Rosalie</t>
  </si>
  <si>
    <t>Indra</t>
  </si>
  <si>
    <t>Dick C.</t>
  </si>
  <si>
    <t>Shelly</t>
  </si>
  <si>
    <t>Emily S. *</t>
  </si>
  <si>
    <t>Carla S. *</t>
  </si>
  <si>
    <t>* = New Player</t>
  </si>
  <si>
    <t xml:space="preserve">Carla S. </t>
  </si>
  <si>
    <t>Emily S.</t>
  </si>
  <si>
    <t>Bill Violet</t>
  </si>
  <si>
    <t>Teri</t>
  </si>
  <si>
    <t>Don Jones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</si>
</sst>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008000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14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Border="1"/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2" fillId="0" borderId="0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Alignment="1">
      <alignment horizontal="left"/>
    </xf>
    <xf numFmtId="0" fontId="8" fillId="0" borderId="1" xfId="0" applyFont="1" applyBorder="1"/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K40"/>
  <sheetViews>
    <sheetView tabSelected="1" workbookViewId="0">
      <selection activeCell="H18" sqref="H18"/>
    </sheetView>
  </sheetViews>
  <sheetFormatPr defaultRowHeight="18.75" x14ac:dyDescent="0.3"/>
  <cols>
    <col min="1" max="1" width="6.28515625" style="5" customWidth="1"/>
    <col min="2" max="2" width="15.140625" style="1" customWidth="1"/>
    <col min="3" max="3" width="19.140625" style="1" customWidth="1"/>
    <col min="4" max="4" width="8.5703125" style="1" customWidth="1"/>
    <col min="5" max="5" width="10.42578125" style="1" customWidth="1"/>
    <col min="6" max="6" width="10.85546875" style="1" customWidth="1"/>
    <col min="7" max="7" width="11.42578125" style="1" customWidth="1"/>
    <col min="8" max="8" width="19.28515625" style="1" customWidth="1"/>
    <col min="9" max="9" width="9.140625" style="5" customWidth="1"/>
    <col min="10" max="16384" width="9.140625" style="5"/>
  </cols>
  <sheetData>
    <row r="1" spans="2:11" x14ac:dyDescent="0.3">
      <c r="C1" s="2" t="s">
        <v>8</v>
      </c>
      <c r="D1" s="3"/>
      <c r="E1" s="4"/>
    </row>
    <row r="2" spans="2:11" ht="8.25" customHeight="1" x14ac:dyDescent="0.3"/>
    <row r="3" spans="2:11" x14ac:dyDescent="0.3">
      <c r="B3" s="6" t="s">
        <v>5</v>
      </c>
      <c r="C3" s="7">
        <v>42551</v>
      </c>
      <c r="F3" s="8" t="s">
        <v>6</v>
      </c>
    </row>
    <row r="4" spans="2:11" ht="37.5" x14ac:dyDescent="0.3">
      <c r="C4" s="9" t="s">
        <v>4</v>
      </c>
      <c r="D4" s="10" t="s">
        <v>0</v>
      </c>
      <c r="E4" s="10" t="s">
        <v>1</v>
      </c>
      <c r="F4" s="10" t="s">
        <v>2</v>
      </c>
      <c r="G4" s="10" t="s">
        <v>3</v>
      </c>
      <c r="H4" s="1" t="s">
        <v>28</v>
      </c>
    </row>
    <row r="5" spans="2:11" x14ac:dyDescent="0.3">
      <c r="B5" s="11">
        <v>1</v>
      </c>
      <c r="C5" s="23" t="s">
        <v>19</v>
      </c>
      <c r="D5" s="24">
        <v>11</v>
      </c>
      <c r="E5" s="24">
        <v>5</v>
      </c>
      <c r="F5" s="24">
        <v>71</v>
      </c>
      <c r="G5" s="24">
        <v>7</v>
      </c>
    </row>
    <row r="6" spans="2:11" x14ac:dyDescent="0.3">
      <c r="B6" s="11">
        <f t="shared" ref="B6:B20" si="0">IF(+C6&lt;&gt;"",+B5+1,"")</f>
        <v>2</v>
      </c>
      <c r="C6" s="23" t="s">
        <v>24</v>
      </c>
      <c r="D6" s="24">
        <v>7</v>
      </c>
      <c r="E6" s="24">
        <v>3</v>
      </c>
      <c r="F6" s="24">
        <v>56</v>
      </c>
      <c r="G6" s="24">
        <v>4</v>
      </c>
      <c r="H6" s="16"/>
    </row>
    <row r="7" spans="2:11" x14ac:dyDescent="0.3">
      <c r="B7" s="11">
        <f>IF(+C7&lt;&gt;"",+B6+1,"")</f>
        <v>3</v>
      </c>
      <c r="C7" s="12" t="s">
        <v>29</v>
      </c>
      <c r="D7" s="13">
        <v>7</v>
      </c>
      <c r="E7" s="13">
        <v>3</v>
      </c>
      <c r="F7" s="13">
        <v>41</v>
      </c>
      <c r="G7" s="13">
        <v>5</v>
      </c>
      <c r="H7" s="20"/>
    </row>
    <row r="8" spans="2:11" x14ac:dyDescent="0.3">
      <c r="B8" s="11">
        <f>IF(+C8&lt;&gt;"",+B7+1,"")</f>
        <v>4</v>
      </c>
      <c r="C8" s="12" t="s">
        <v>30</v>
      </c>
      <c r="D8" s="13">
        <v>7</v>
      </c>
      <c r="E8" s="13">
        <v>3</v>
      </c>
      <c r="F8" s="13">
        <v>32</v>
      </c>
      <c r="G8" s="13">
        <v>4</v>
      </c>
      <c r="H8" s="26"/>
    </row>
    <row r="9" spans="2:11" x14ac:dyDescent="0.3">
      <c r="B9" s="11">
        <f t="shared" si="0"/>
        <v>5</v>
      </c>
      <c r="C9" s="23" t="s">
        <v>22</v>
      </c>
      <c r="D9" s="24">
        <v>7</v>
      </c>
      <c r="E9" s="24">
        <v>3</v>
      </c>
      <c r="F9" s="24">
        <v>-22</v>
      </c>
      <c r="G9" s="24">
        <v>7</v>
      </c>
      <c r="H9" s="16"/>
    </row>
    <row r="10" spans="2:11" x14ac:dyDescent="0.3">
      <c r="B10" s="11">
        <f>IF(+C10&lt;&gt;"",+B9+1,"")</f>
        <v>6</v>
      </c>
      <c r="C10" s="17" t="s">
        <v>23</v>
      </c>
      <c r="D10" s="13">
        <v>7</v>
      </c>
      <c r="E10" s="13">
        <v>3</v>
      </c>
      <c r="F10" s="13">
        <v>-27</v>
      </c>
      <c r="G10" s="13">
        <v>6</v>
      </c>
    </row>
    <row r="11" spans="2:11" x14ac:dyDescent="0.3">
      <c r="B11" s="11">
        <f t="shared" si="0"/>
        <v>7</v>
      </c>
      <c r="C11" s="12" t="s">
        <v>15</v>
      </c>
      <c r="D11" s="13">
        <v>6</v>
      </c>
      <c r="E11" s="13">
        <v>3</v>
      </c>
      <c r="F11" s="13">
        <v>17</v>
      </c>
      <c r="G11" s="13">
        <v>5</v>
      </c>
      <c r="H11" s="20"/>
      <c r="K11" s="20" t="s">
        <v>17</v>
      </c>
    </row>
    <row r="12" spans="2:11" x14ac:dyDescent="0.3">
      <c r="B12" s="11">
        <f t="shared" si="0"/>
        <v>8</v>
      </c>
      <c r="C12" s="23" t="s">
        <v>16</v>
      </c>
      <c r="D12" s="24">
        <v>6</v>
      </c>
      <c r="E12" s="24">
        <v>3</v>
      </c>
      <c r="F12" s="24">
        <v>14</v>
      </c>
      <c r="G12" s="24">
        <v>5</v>
      </c>
    </row>
    <row r="13" spans="2:11" x14ac:dyDescent="0.3">
      <c r="B13" s="11">
        <f t="shared" si="0"/>
        <v>9</v>
      </c>
      <c r="C13" s="12" t="s">
        <v>11</v>
      </c>
      <c r="D13" s="13">
        <v>4</v>
      </c>
      <c r="E13" s="13">
        <v>2</v>
      </c>
      <c r="F13" s="13">
        <v>-15</v>
      </c>
      <c r="G13" s="13">
        <v>5</v>
      </c>
      <c r="H13" s="20"/>
      <c r="K13" s="16" t="s">
        <v>12</v>
      </c>
    </row>
    <row r="14" spans="2:11" x14ac:dyDescent="0.3">
      <c r="B14" s="11">
        <f t="shared" si="0"/>
        <v>10</v>
      </c>
      <c r="C14" s="15" t="s">
        <v>10</v>
      </c>
      <c r="D14" s="13">
        <v>2</v>
      </c>
      <c r="E14" s="13">
        <v>16</v>
      </c>
      <c r="F14" s="13">
        <v>-53</v>
      </c>
      <c r="G14" s="13">
        <v>5</v>
      </c>
    </row>
    <row r="15" spans="2:11" x14ac:dyDescent="0.3">
      <c r="B15" s="11">
        <f>IF(+C15&lt;&gt;"",+B14+1,"")</f>
        <v>11</v>
      </c>
      <c r="C15" s="23" t="s">
        <v>31</v>
      </c>
      <c r="D15" s="24">
        <v>2</v>
      </c>
      <c r="E15" s="24">
        <v>1</v>
      </c>
      <c r="F15" s="24">
        <v>16</v>
      </c>
      <c r="G15" s="24">
        <v>2</v>
      </c>
      <c r="K15" s="21" t="s">
        <v>13</v>
      </c>
    </row>
    <row r="16" spans="2:11" x14ac:dyDescent="0.3">
      <c r="B16" s="11">
        <f>IF(+C16&lt;&gt;"",+B15+1,"")</f>
        <v>12</v>
      </c>
      <c r="C16" s="25" t="s">
        <v>18</v>
      </c>
      <c r="D16" s="24">
        <v>2</v>
      </c>
      <c r="E16" s="24">
        <v>1</v>
      </c>
      <c r="F16" s="24">
        <v>-55</v>
      </c>
      <c r="G16" s="24">
        <v>4</v>
      </c>
      <c r="H16" s="21"/>
    </row>
    <row r="17" spans="2:11" x14ac:dyDescent="0.3">
      <c r="B17" s="11">
        <f>IF(+C17&lt;&gt;"",+B16+1,"")</f>
        <v>13</v>
      </c>
      <c r="C17" s="23" t="s">
        <v>32</v>
      </c>
      <c r="D17" s="24">
        <v>0</v>
      </c>
      <c r="E17" s="24">
        <v>0</v>
      </c>
      <c r="F17" s="24">
        <v>-18</v>
      </c>
      <c r="G17" s="24">
        <v>2</v>
      </c>
      <c r="H17" s="20"/>
      <c r="K17" s="22" t="s">
        <v>14</v>
      </c>
    </row>
    <row r="18" spans="2:11" x14ac:dyDescent="0.3">
      <c r="B18" s="11">
        <f t="shared" si="0"/>
        <v>14</v>
      </c>
      <c r="C18" s="12" t="s">
        <v>33</v>
      </c>
      <c r="D18" s="13">
        <v>0</v>
      </c>
      <c r="E18" s="13">
        <v>0</v>
      </c>
      <c r="F18" s="13">
        <v>-25</v>
      </c>
      <c r="G18" s="13">
        <v>1</v>
      </c>
      <c r="H18" s="20"/>
    </row>
    <row r="19" spans="2:11" x14ac:dyDescent="0.3">
      <c r="B19" s="11" t="str">
        <f t="shared" si="0"/>
        <v/>
      </c>
      <c r="C19" s="12"/>
      <c r="D19" s="13"/>
      <c r="E19" s="13"/>
      <c r="F19" s="13"/>
      <c r="G19" s="13"/>
    </row>
    <row r="20" spans="2:11" x14ac:dyDescent="0.3">
      <c r="B20" s="11" t="str">
        <f t="shared" si="0"/>
        <v/>
      </c>
      <c r="C20" s="12"/>
      <c r="D20" s="13"/>
      <c r="E20" s="13"/>
      <c r="F20" s="13"/>
      <c r="G20" s="13"/>
    </row>
    <row r="21" spans="2:11" x14ac:dyDescent="0.3">
      <c r="B21" s="18"/>
      <c r="C21" s="15"/>
      <c r="D21" s="19"/>
      <c r="E21" s="19"/>
      <c r="F21" s="19"/>
      <c r="G21" s="19"/>
    </row>
    <row r="22" spans="2:11" x14ac:dyDescent="0.3">
      <c r="B22" s="6" t="s">
        <v>5</v>
      </c>
      <c r="C22" s="7">
        <v>42544</v>
      </c>
      <c r="F22" s="8" t="s">
        <v>7</v>
      </c>
    </row>
    <row r="23" spans="2:11" ht="37.5" x14ac:dyDescent="0.3">
      <c r="C23" s="9" t="s">
        <v>4</v>
      </c>
      <c r="D23" s="10" t="s">
        <v>0</v>
      </c>
      <c r="E23" s="10" t="s">
        <v>1</v>
      </c>
      <c r="F23" s="10" t="s">
        <v>2</v>
      </c>
      <c r="G23" s="10" t="s">
        <v>3</v>
      </c>
    </row>
    <row r="24" spans="2:11" x14ac:dyDescent="0.3">
      <c r="B24" s="11">
        <v>1</v>
      </c>
      <c r="C24" s="23" t="s">
        <v>19</v>
      </c>
      <c r="D24" s="24">
        <v>13</v>
      </c>
      <c r="E24" s="24">
        <v>6</v>
      </c>
      <c r="F24" s="24">
        <v>29</v>
      </c>
      <c r="G24" s="24">
        <v>8</v>
      </c>
      <c r="I24" s="15"/>
    </row>
    <row r="25" spans="2:11" x14ac:dyDescent="0.3">
      <c r="B25" s="11">
        <f t="shared" ref="B25:B35" si="1">IF(+C25&lt;&gt;"",+B24+1,"")</f>
        <v>2</v>
      </c>
      <c r="C25" s="27" t="s">
        <v>26</v>
      </c>
      <c r="D25" s="28">
        <v>10</v>
      </c>
      <c r="E25" s="28">
        <v>5</v>
      </c>
      <c r="F25" s="28">
        <v>64</v>
      </c>
      <c r="G25" s="28">
        <v>5</v>
      </c>
      <c r="H25" s="16" t="s">
        <v>12</v>
      </c>
      <c r="I25" s="15"/>
    </row>
    <row r="26" spans="2:11" x14ac:dyDescent="0.3">
      <c r="B26" s="11">
        <f t="shared" si="1"/>
        <v>3</v>
      </c>
      <c r="C26" s="12" t="s">
        <v>10</v>
      </c>
      <c r="D26" s="13">
        <v>8</v>
      </c>
      <c r="E26" s="13">
        <v>4</v>
      </c>
      <c r="F26" s="13">
        <v>7</v>
      </c>
      <c r="G26" s="13">
        <v>6</v>
      </c>
      <c r="H26" s="20"/>
      <c r="I26" s="15"/>
    </row>
    <row r="27" spans="2:11" x14ac:dyDescent="0.3">
      <c r="B27" s="11">
        <f t="shared" si="1"/>
        <v>4</v>
      </c>
      <c r="C27" s="12" t="s">
        <v>16</v>
      </c>
      <c r="D27" s="13">
        <v>8</v>
      </c>
      <c r="E27" s="13">
        <v>3</v>
      </c>
      <c r="F27" s="13">
        <v>61</v>
      </c>
      <c r="G27" s="13">
        <v>5</v>
      </c>
      <c r="H27" s="26"/>
      <c r="I27" s="15"/>
    </row>
    <row r="28" spans="2:11" x14ac:dyDescent="0.3">
      <c r="B28" s="11">
        <f t="shared" si="1"/>
        <v>5</v>
      </c>
      <c r="C28" s="17" t="s">
        <v>15</v>
      </c>
      <c r="D28" s="13">
        <v>7</v>
      </c>
      <c r="E28" s="13">
        <v>3</v>
      </c>
      <c r="F28" s="13">
        <v>21</v>
      </c>
      <c r="G28" s="13">
        <v>5</v>
      </c>
      <c r="H28" s="16"/>
      <c r="I28" s="15"/>
    </row>
    <row r="29" spans="2:11" x14ac:dyDescent="0.3">
      <c r="B29" s="11">
        <f t="shared" si="1"/>
        <v>6</v>
      </c>
      <c r="C29" s="23" t="s">
        <v>22</v>
      </c>
      <c r="D29" s="24">
        <v>7</v>
      </c>
      <c r="E29" s="24">
        <v>3</v>
      </c>
      <c r="F29" s="24">
        <v>13</v>
      </c>
      <c r="G29" s="24">
        <v>7</v>
      </c>
      <c r="I29" s="15"/>
    </row>
    <row r="30" spans="2:11" x14ac:dyDescent="0.3">
      <c r="B30" s="11">
        <f t="shared" si="1"/>
        <v>7</v>
      </c>
      <c r="C30" s="12" t="s">
        <v>27</v>
      </c>
      <c r="D30" s="13">
        <v>6</v>
      </c>
      <c r="E30" s="13">
        <v>3</v>
      </c>
      <c r="F30" s="13">
        <v>-46</v>
      </c>
      <c r="G30" s="13">
        <v>5</v>
      </c>
      <c r="H30" s="20"/>
      <c r="I30" s="15"/>
    </row>
    <row r="31" spans="2:11" x14ac:dyDescent="0.3">
      <c r="B31" s="14">
        <f t="shared" si="1"/>
        <v>8</v>
      </c>
      <c r="C31" s="23" t="s">
        <v>9</v>
      </c>
      <c r="D31" s="24">
        <v>6</v>
      </c>
      <c r="E31" s="24">
        <v>3</v>
      </c>
      <c r="F31" s="24">
        <v>-48</v>
      </c>
      <c r="G31" s="24">
        <v>6</v>
      </c>
      <c r="I31" s="15"/>
    </row>
    <row r="32" spans="2:11" x14ac:dyDescent="0.3">
      <c r="B32" s="11">
        <f t="shared" si="1"/>
        <v>9</v>
      </c>
      <c r="C32" s="12" t="s">
        <v>21</v>
      </c>
      <c r="D32" s="13">
        <v>5</v>
      </c>
      <c r="E32" s="13">
        <v>2</v>
      </c>
      <c r="F32" s="13">
        <v>5</v>
      </c>
      <c r="G32" s="13">
        <v>5</v>
      </c>
      <c r="H32" s="20"/>
      <c r="I32" s="15"/>
    </row>
    <row r="33" spans="2:9" x14ac:dyDescent="0.3">
      <c r="B33" s="11">
        <f t="shared" si="1"/>
        <v>10</v>
      </c>
      <c r="C33" s="25" t="s">
        <v>23</v>
      </c>
      <c r="D33" s="24">
        <v>4</v>
      </c>
      <c r="E33" s="24">
        <v>2</v>
      </c>
      <c r="F33" s="24">
        <v>1</v>
      </c>
      <c r="G33" s="24">
        <v>5</v>
      </c>
      <c r="I33" s="15"/>
    </row>
    <row r="34" spans="2:9" x14ac:dyDescent="0.3">
      <c r="B34" s="11">
        <f t="shared" si="1"/>
        <v>11</v>
      </c>
      <c r="C34" s="12" t="s">
        <v>24</v>
      </c>
      <c r="D34" s="13">
        <v>4</v>
      </c>
      <c r="E34" s="13">
        <v>2</v>
      </c>
      <c r="F34" s="13">
        <v>-22</v>
      </c>
      <c r="G34" s="13">
        <v>5</v>
      </c>
    </row>
    <row r="35" spans="2:9" x14ac:dyDescent="0.3">
      <c r="B35" s="11">
        <f t="shared" si="1"/>
        <v>12</v>
      </c>
      <c r="C35" s="25" t="s">
        <v>25</v>
      </c>
      <c r="D35" s="24">
        <v>4</v>
      </c>
      <c r="E35" s="24">
        <v>2</v>
      </c>
      <c r="F35" s="24">
        <v>-25</v>
      </c>
      <c r="G35" s="24">
        <v>5</v>
      </c>
      <c r="H35" s="21"/>
    </row>
    <row r="36" spans="2:9" x14ac:dyDescent="0.3">
      <c r="B36" s="11">
        <f t="shared" ref="B36" si="2">IF(+C36&lt;&gt;"",+B35+1,"")</f>
        <v>13</v>
      </c>
      <c r="C36" s="23" t="s">
        <v>11</v>
      </c>
      <c r="D36" s="24">
        <v>3</v>
      </c>
      <c r="E36" s="24">
        <v>1</v>
      </c>
      <c r="F36" s="24">
        <v>-5</v>
      </c>
      <c r="G36" s="24">
        <v>5</v>
      </c>
      <c r="H36" s="20"/>
    </row>
    <row r="37" spans="2:9" x14ac:dyDescent="0.3">
      <c r="B37" s="11">
        <f t="shared" ref="B37" si="3">IF(+C37&lt;&gt;"",+B36+1,"")</f>
        <v>14</v>
      </c>
      <c r="C37" s="12" t="s">
        <v>18</v>
      </c>
      <c r="D37" s="13">
        <v>2</v>
      </c>
      <c r="E37" s="13">
        <v>1</v>
      </c>
      <c r="F37" s="13">
        <v>-21</v>
      </c>
      <c r="G37" s="13">
        <v>4</v>
      </c>
      <c r="H37" s="20"/>
    </row>
    <row r="38" spans="2:9" x14ac:dyDescent="0.3">
      <c r="B38" s="11">
        <f t="shared" ref="B38:B40" si="4">IF(+C38&lt;&gt;"",+B37+1,"")</f>
        <v>15</v>
      </c>
      <c r="C38" s="12" t="s">
        <v>20</v>
      </c>
      <c r="D38" s="13">
        <v>2</v>
      </c>
      <c r="E38" s="13">
        <v>1</v>
      </c>
      <c r="F38" s="13">
        <v>-23</v>
      </c>
      <c r="G38" s="13">
        <v>5</v>
      </c>
    </row>
    <row r="39" spans="2:9" x14ac:dyDescent="0.3">
      <c r="B39" s="11" t="str">
        <f t="shared" si="4"/>
        <v/>
      </c>
      <c r="C39" s="17"/>
      <c r="D39" s="13"/>
      <c r="E39" s="13"/>
      <c r="F39" s="13"/>
      <c r="G39" s="13"/>
    </row>
    <row r="40" spans="2:9" x14ac:dyDescent="0.3">
      <c r="B40" s="11" t="str">
        <f t="shared" si="4"/>
        <v/>
      </c>
      <c r="C40" s="12"/>
      <c r="D40" s="13"/>
      <c r="E40" s="13"/>
      <c r="F40" s="13"/>
      <c r="G40" s="13"/>
    </row>
  </sheetData>
  <sortState ref="C5:G18">
    <sortCondition descending="1" ref="D5:D18"/>
    <sortCondition descending="1" ref="E5:E18"/>
    <sortCondition descending="1" ref="F5:F18"/>
  </sortState>
  <pageMargins left="0.23622047244094491" right="0.23622047244094491" top="0.19685039370078741" bottom="0.19685039370078741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2016-06-30T18:36:40Z</cp:lastPrinted>
  <dcterms:created xsi:type="dcterms:W3CDTF">2013-03-02T16:52:31Z</dcterms:created>
  <dcterms:modified xsi:type="dcterms:W3CDTF">2016-07-01T00:22:13Z</dcterms:modified>
</cp:coreProperties>
</file>